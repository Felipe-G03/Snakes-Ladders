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\Documents\Facul\8º Semestre\Engenharia de Software II\"/>
    </mc:Choice>
  </mc:AlternateContent>
  <xr:revisionPtr revIDLastSave="0" documentId="13_ncr:1_{B55300E1-52B6-44EC-8471-5ABB90F52504}" xr6:coauthVersionLast="47" xr6:coauthVersionMax="47" xr10:uidLastSave="{00000000-0000-0000-0000-000000000000}"/>
  <bookViews>
    <workbookView xWindow="-108" yWindow="-108" windowWidth="23256" windowHeight="12576" activeTab="1" xr2:uid="{E166ED89-6562-4373-A416-CC4B8503D8FA}"/>
  </bookViews>
  <sheets>
    <sheet name="CRONOGRAMA" sheetId="3" r:id="rId1"/>
    <sheet name="HORAS ATIVIDADES" sheetId="4" r:id="rId2"/>
    <sheet name="FLUXO DE TRABALH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4" l="1"/>
  <c r="C21" i="4"/>
  <c r="C22" i="4"/>
  <c r="C20" i="4"/>
  <c r="C16" i="4"/>
  <c r="C17" i="4"/>
  <c r="C18" i="4"/>
  <c r="C15" i="4"/>
  <c r="C12" i="4"/>
  <c r="C13" i="4"/>
  <c r="C11" i="4"/>
  <c r="C7" i="4"/>
  <c r="C8" i="4"/>
  <c r="C9" i="4"/>
  <c r="C6" i="4"/>
  <c r="C27" i="4" s="1"/>
  <c r="C26" i="4" l="1"/>
  <c r="D27" i="4"/>
  <c r="D26" i="4"/>
  <c r="E26" i="4" s="1"/>
  <c r="F26" i="4" s="1"/>
  <c r="G26" i="4" s="1"/>
  <c r="H26" i="4" s="1"/>
  <c r="I26" i="4" s="1"/>
  <c r="J26" i="4" s="1"/>
  <c r="K26" i="4" s="1"/>
  <c r="L26" i="4" s="1"/>
  <c r="M26" i="4" s="1"/>
  <c r="N26" i="4" s="1"/>
  <c r="O26" i="4" s="1"/>
  <c r="P26" i="4" s="1"/>
  <c r="E27" i="4" l="1"/>
  <c r="F27" i="4" s="1"/>
  <c r="G27" i="4" s="1"/>
  <c r="H27" i="4" s="1"/>
  <c r="I27" i="4" s="1"/>
  <c r="J27" i="4" s="1"/>
  <c r="K27" i="4" s="1"/>
  <c r="L27" i="4" s="1"/>
  <c r="M27" i="4" s="1"/>
  <c r="N27" i="4" s="1"/>
  <c r="O27" i="4" s="1"/>
  <c r="P27" i="4" s="1"/>
</calcChain>
</file>

<file path=xl/sharedStrings.xml><?xml version="1.0" encoding="utf-8"?>
<sst xmlns="http://schemas.openxmlformats.org/spreadsheetml/2006/main" count="139" uniqueCount="61">
  <si>
    <t>CRONOGRAMA DO PROJETO</t>
  </si>
  <si>
    <t>ATIVIDADES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</si>
  <si>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</si>
  <si>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</si>
  <si>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</si>
  <si>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</si>
  <si>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</si>
  <si>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</si>
  <si>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</si>
  <si>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</si>
  <si>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</si>
  <si>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</si>
  <si>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</si>
  <si>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</si>
  <si>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</si>
  <si>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Planejamento do projeto</t>
  </si>
  <si>
    <t>BackEnd (Jogo)</t>
  </si>
  <si>
    <t>Lógica Básica do Jogo</t>
  </si>
  <si>
    <t>Regras do Jogo</t>
  </si>
  <si>
    <t>Gerenciamento de partida</t>
  </si>
  <si>
    <t>Multiplayer Online</t>
  </si>
  <si>
    <t>FrontEnd (Website/Visual)</t>
  </si>
  <si>
    <t>Design/Protótipo da Interface</t>
  </si>
  <si>
    <t>Implementação da interface</t>
  </si>
  <si>
    <t>Lógica de Interação com o usuário</t>
  </si>
  <si>
    <t>Testes</t>
  </si>
  <si>
    <t>Testes Unitários</t>
  </si>
  <si>
    <t>Testes de Integração</t>
  </si>
  <si>
    <t>Testes de Sistema</t>
  </si>
  <si>
    <t>Testes de Aceitação</t>
  </si>
  <si>
    <t>Hospedagem e Deploy</t>
  </si>
  <si>
    <t>Configuração do Host</t>
  </si>
  <si>
    <t>Deploy</t>
  </si>
  <si>
    <t>Documentação</t>
  </si>
  <si>
    <t>Total de horas</t>
  </si>
  <si>
    <t>Semanas previstas para as atividades</t>
  </si>
  <si>
    <t>Restante</t>
  </si>
  <si>
    <t>Estimado</t>
  </si>
  <si>
    <t>FLUXO DE ATIVIDADES</t>
  </si>
  <si>
    <t>BACKLOG - ATIVIDADES</t>
  </si>
  <si>
    <t>RESPONSÁVEL DA ATIVIDADE</t>
  </si>
  <si>
    <t>ATIVIDADES EM ANDAMENTO</t>
  </si>
  <si>
    <t>ATIVIDADES CONCLUIDAS</t>
  </si>
  <si>
    <t>OBSERVAÇÕES</t>
  </si>
  <si>
    <t>Felipe Gouvea, João Otavio, Rafael Navarro</t>
  </si>
  <si>
    <t>Felipe Gouvea, Rafael Navarro</t>
  </si>
  <si>
    <t>João Otavio</t>
  </si>
  <si>
    <t>João Otavio, Felipe Gouvea</t>
  </si>
  <si>
    <t>João Otavio, Rafael Navarro</t>
  </si>
  <si>
    <t>X</t>
  </si>
  <si>
    <t>~6 hrs totais</t>
  </si>
  <si>
    <t>~15 hrs totais</t>
  </si>
  <si>
    <t>Regras básicas adicionadas</t>
  </si>
  <si>
    <t>~10 hrs totais</t>
  </si>
  <si>
    <t>~4 hrs totais</t>
  </si>
  <si>
    <t>Testes em andamento</t>
  </si>
  <si>
    <t>v3.0.1 lançada</t>
  </si>
  <si>
    <t>Ultimo encontro hoje</t>
  </si>
  <si>
    <t>~36 hrs totais</t>
  </si>
  <si>
    <t>~30 hrs totais</t>
  </si>
  <si>
    <t>~23 hrs 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</si>
</sst>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u val="double"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CBAE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387F5"/>
        <bgColor indexed="64"/>
      </patternFill>
    </fill>
    <fill>
      <patternFill patternType="solid">
        <fgColor rgb="FF00DDFF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CBAE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6" xfId="0" applyBorder="1"/>
    <xf numFmtId="0" fontId="7" fillId="0" borderId="0" xfId="0" applyFont="1"/>
    <xf numFmtId="0" fontId="2" fillId="0" borderId="6" xfId="0" applyFont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/>
    </xf>
    <xf numFmtId="0" fontId="8" fillId="23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1" fillId="0" borderId="0" xfId="0" applyFont="1"/>
    <xf numFmtId="0" fontId="0" fillId="18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/>
    </xf>
    <xf numFmtId="0" fontId="9" fillId="28" borderId="1" xfId="0" applyFont="1" applyFill="1" applyBorder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7" borderId="2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12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1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8" fillId="22" borderId="1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10" borderId="12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10" borderId="18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15" borderId="3" xfId="0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29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0" borderId="15" xfId="0" applyFill="1" applyBorder="1" applyAlignment="1">
      <alignment horizontal="center" vertical="center"/>
    </xf>
    <xf numFmtId="0" fontId="0" fillId="20" borderId="16" xfId="0" applyFill="1" applyBorder="1" applyAlignment="1">
      <alignment horizontal="center" vertical="center"/>
    </xf>
    <xf numFmtId="0" fontId="0" fillId="20" borderId="1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9" fillId="26" borderId="2" xfId="0" applyFont="1" applyFill="1" applyBorder="1" applyAlignment="1">
      <alignment horizontal="center"/>
    </xf>
    <xf numFmtId="0" fontId="9" fillId="26" borderId="5" xfId="0" applyFont="1" applyFill="1" applyBorder="1" applyAlignment="1">
      <alignment horizontal="center"/>
    </xf>
    <xf numFmtId="0" fontId="9" fillId="26" borderId="4" xfId="0" applyFont="1" applyFill="1" applyBorder="1" applyAlignment="1">
      <alignment horizontal="center"/>
    </xf>
    <xf numFmtId="0" fontId="9" fillId="25" borderId="3" xfId="0" applyFont="1" applyFill="1" applyBorder="1" applyAlignment="1">
      <alignment horizontal="center" vertical="center"/>
    </xf>
    <xf numFmtId="0" fontId="9" fillId="25" borderId="7" xfId="0" applyFont="1" applyFill="1" applyBorder="1" applyAlignment="1">
      <alignment horizontal="center" vertical="center"/>
    </xf>
    <xf numFmtId="0" fontId="9" fillId="24" borderId="3" xfId="0" applyFont="1" applyFill="1" applyBorder="1" applyAlignment="1">
      <alignment horizontal="center" vertical="center"/>
    </xf>
    <xf numFmtId="0" fontId="9" fillId="24" borderId="7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5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DDFF"/>
      <color rgb="FFC387F5"/>
      <color rgb="FFFCBA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layout>
        <c:manualLayout>
          <c:xMode val="edge"/>
          <c:yMode val="edge"/>
          <c:x val="0.43786726659167602"/>
          <c:y val="1.8626929217668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'HORAS ATIVIDADES'!$D$26:$P$26</c:f>
              <c:numCache>
                <c:formatCode>General</c:formatCode>
                <c:ptCount val="13"/>
                <c:pt idx="0">
                  <c:v>268</c:v>
                </c:pt>
                <c:pt idx="1">
                  <c:v>254</c:v>
                </c:pt>
                <c:pt idx="2">
                  <c:v>238</c:v>
                </c:pt>
                <c:pt idx="3">
                  <c:v>225</c:v>
                </c:pt>
                <c:pt idx="4">
                  <c:v>207</c:v>
                </c:pt>
                <c:pt idx="5">
                  <c:v>179</c:v>
                </c:pt>
                <c:pt idx="6">
                  <c:v>157</c:v>
                </c:pt>
                <c:pt idx="7">
                  <c:v>134</c:v>
                </c:pt>
                <c:pt idx="8">
                  <c:v>107</c:v>
                </c:pt>
                <c:pt idx="9">
                  <c:v>80</c:v>
                </c:pt>
                <c:pt idx="10">
                  <c:v>53</c:v>
                </c:pt>
                <c:pt idx="11">
                  <c:v>20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4C-4DE1-82FD-C68F64F72525}"/>
            </c:ext>
          </c:extLst>
        </c:ser>
        <c:ser>
          <c:idx val="1"/>
          <c:order val="1"/>
          <c:tx>
            <c:v>Estimado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'HORAS ATIVIDADES'!$D$27:$P$27</c:f>
              <c:numCache>
                <c:formatCode>General</c:formatCode>
                <c:ptCount val="13"/>
                <c:pt idx="0">
                  <c:v>252.92307692307693</c:v>
                </c:pt>
                <c:pt idx="1">
                  <c:v>231.84615384615387</c:v>
                </c:pt>
                <c:pt idx="2">
                  <c:v>210.7692307692308</c:v>
                </c:pt>
                <c:pt idx="3">
                  <c:v>189.69230769230774</c:v>
                </c:pt>
                <c:pt idx="4">
                  <c:v>168.61538461538467</c:v>
                </c:pt>
                <c:pt idx="5">
                  <c:v>147.5384615384616</c:v>
                </c:pt>
                <c:pt idx="6">
                  <c:v>126.46153846153852</c:v>
                </c:pt>
                <c:pt idx="7">
                  <c:v>105.38461538461544</c:v>
                </c:pt>
                <c:pt idx="8">
                  <c:v>84.307692307692363</c:v>
                </c:pt>
                <c:pt idx="9">
                  <c:v>63.230769230769283</c:v>
                </c:pt>
                <c:pt idx="10">
                  <c:v>42.153846153846203</c:v>
                </c:pt>
                <c:pt idx="11">
                  <c:v>21.076923076923126</c:v>
                </c:pt>
                <c:pt idx="12">
                  <c:v>4.9737991503207013E-14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4C-4DE1-82FD-C68F64F7252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57420607"/>
        <c:axId val="1457421023"/>
      </c:lineChart>
      <c:catAx>
        <c:axId val="1457420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SEMANAS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21023"/>
        <c:crosses val="autoZero"/>
        <c:auto val="1"/>
        <c:lblAlgn val="ctr"/>
        <c:lblOffset val="100"/>
        <c:noMultiLvlLbl val="0"/>
      </c:catAx>
      <c:valAx>
        <c:axId val="14574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42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2085975</xdr:colOff>
      <xdr:row>30</xdr:row>
      <xdr:rowOff>85725</xdr:rowOff>
    </xdr:from>
    <xdr:to>
      <xdr:col>16</xdr:col>
      <xdr:colOff>123825</xdr:colOff>
      <xdr:row>49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6969D-4C40-423F-8189-75EBCCEE3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D6E4-9FF6-4826-B26C-B7F01A35B92D}">
  <dimension ref="B1:R23"/>
  <sheetViews>
    <sheetView showGridLines="0" zoomScale="90" zoomScaleNormal="90" workbookViewId="0">
      <selection activeCell="F29" sqref="F2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11" customWidth="1"/>
    <col min="2" max="2" width="31.44140625" bestFit="1" customWidth="1"/>
    <col min="3" max="3" width="9.33203125" customWidth="1"/>
    <col min="4" max="11" width="9.33203125" bestFit="1" customWidth="1"/>
    <col min="12" max="15" width="10.33203125" bestFit="1" customWidth="1"/>
    <col min="16" max="16" width="0.109375" hidden="1" customWidth="1"/>
    <col min="17" max="18" width="10.33203125" bestFit="1" customWidth="1"/>
  </cols>
  <sheetData>
    <row r="1" spans="2:18" x14ac:dyDescent="0.3">
      <c r="P1" s="3"/>
      <c r="Q1" s="3"/>
      <c r="R1" s="3"/>
    </row>
    <row r="2" spans="2:18" x14ac:dyDescent="0.3">
      <c r="Q2" s="3"/>
      <c r="R2" s="4"/>
    </row>
    <row r="3" spans="2:18" x14ac:dyDescent="0.3">
      <c r="B3" s="117" t="s">
        <v>0</v>
      </c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3"/>
    </row>
    <row r="4" spans="2:18" x14ac:dyDescent="0.3">
      <c r="B4" s="10" t="s">
        <v>1</v>
      </c>
      <c r="C4" s="81" t="s">
        <v>2</v>
      </c>
      <c r="D4" s="12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2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2" t="s">
        <v>14</v>
      </c>
    </row>
    <row r="5" spans="2:18" x14ac:dyDescent="0.3">
      <c r="B5" s="80" t="s">
        <v>15</v>
      </c>
      <c r="C5" s="6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4"/>
    </row>
    <row r="6" spans="2:18" x14ac:dyDescent="0.3">
      <c r="B6" s="118" t="s">
        <v>16</v>
      </c>
      <c r="C6" s="119"/>
      <c r="D6" s="120"/>
      <c r="E6" s="120"/>
      <c r="F6" s="120"/>
      <c r="G6" s="121"/>
      <c r="H6" s="121"/>
      <c r="I6" s="121"/>
      <c r="J6" s="121"/>
      <c r="K6" s="121"/>
      <c r="L6" s="121"/>
      <c r="M6" s="121"/>
      <c r="N6" s="121"/>
      <c r="O6" s="122"/>
      <c r="P6" s="8"/>
    </row>
    <row r="7" spans="2:18" x14ac:dyDescent="0.3">
      <c r="B7" s="15" t="s">
        <v>17</v>
      </c>
      <c r="C7" s="13"/>
      <c r="D7" s="69"/>
      <c r="E7" s="70"/>
      <c r="F7" s="71"/>
      <c r="G7" s="13"/>
      <c r="H7" s="13"/>
      <c r="I7" s="13"/>
      <c r="J7" s="13"/>
      <c r="K7" s="13"/>
      <c r="L7" s="13"/>
      <c r="M7" s="13"/>
      <c r="N7" s="13"/>
      <c r="O7" s="14"/>
    </row>
    <row r="8" spans="2:18" x14ac:dyDescent="0.3">
      <c r="B8" s="16" t="s">
        <v>18</v>
      </c>
      <c r="C8" s="13"/>
      <c r="D8" s="13"/>
      <c r="E8" s="13"/>
      <c r="F8" s="13"/>
      <c r="G8" s="72"/>
      <c r="H8" s="73"/>
      <c r="I8" s="73"/>
      <c r="J8" s="74"/>
      <c r="K8" s="17"/>
      <c r="L8" s="17"/>
      <c r="M8" s="17"/>
      <c r="N8" s="17"/>
      <c r="O8" s="14"/>
    </row>
    <row r="9" spans="2:18" x14ac:dyDescent="0.3">
      <c r="B9" s="16" t="s">
        <v>19</v>
      </c>
      <c r="C9" s="13"/>
      <c r="D9" s="13"/>
      <c r="E9" s="13"/>
      <c r="F9" s="13"/>
      <c r="G9" s="17"/>
      <c r="H9" s="17"/>
      <c r="I9" s="18"/>
      <c r="J9" s="17"/>
      <c r="K9" s="75"/>
      <c r="L9" s="76"/>
      <c r="M9" s="76"/>
      <c r="N9" s="77"/>
      <c r="O9" s="14"/>
    </row>
    <row r="10" spans="2:18" x14ac:dyDescent="0.3">
      <c r="B10" s="19" t="s">
        <v>20</v>
      </c>
      <c r="C10" s="13"/>
      <c r="D10" s="13"/>
      <c r="E10" s="13"/>
      <c r="F10" s="13"/>
      <c r="G10" s="17"/>
      <c r="H10" s="17"/>
      <c r="I10" s="17"/>
      <c r="J10" s="17"/>
      <c r="K10" s="75"/>
      <c r="L10" s="76"/>
      <c r="M10" s="76"/>
      <c r="N10" s="77"/>
      <c r="O10" s="14"/>
    </row>
    <row r="11" spans="2:18" x14ac:dyDescent="0.3">
      <c r="B11" s="123" t="s">
        <v>21</v>
      </c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5"/>
      <c r="P11" s="99"/>
    </row>
    <row r="12" spans="2:18" x14ac:dyDescent="0.3">
      <c r="B12" s="20" t="s">
        <v>22</v>
      </c>
      <c r="C12" s="13"/>
      <c r="D12" s="100"/>
      <c r="E12" s="101"/>
      <c r="F12" s="102"/>
      <c r="G12" s="18"/>
      <c r="H12" s="18"/>
      <c r="I12" s="18"/>
      <c r="J12" s="18"/>
      <c r="K12" s="18"/>
      <c r="L12" s="18"/>
      <c r="M12" s="21"/>
      <c r="N12" s="21"/>
      <c r="O12" s="22"/>
    </row>
    <row r="13" spans="2:18" x14ac:dyDescent="0.3">
      <c r="B13" s="23" t="s">
        <v>23</v>
      </c>
      <c r="C13" s="13"/>
      <c r="D13" s="13"/>
      <c r="E13" s="13"/>
      <c r="F13" s="13"/>
      <c r="G13" s="67"/>
      <c r="H13" s="68"/>
      <c r="I13" s="68"/>
      <c r="J13" s="78"/>
      <c r="K13" s="78"/>
      <c r="L13" s="78"/>
      <c r="M13" s="78"/>
      <c r="N13" s="79"/>
      <c r="O13" s="14"/>
    </row>
    <row r="14" spans="2:18" x14ac:dyDescent="0.3">
      <c r="B14" s="24" t="s">
        <v>24</v>
      </c>
      <c r="C14" s="13"/>
      <c r="D14" s="25"/>
      <c r="E14" s="13"/>
      <c r="F14" s="17"/>
      <c r="G14" s="17"/>
      <c r="H14" s="17"/>
      <c r="I14" s="17"/>
      <c r="J14" s="95"/>
      <c r="K14" s="78"/>
      <c r="L14" s="78"/>
      <c r="M14" s="78"/>
      <c r="N14" s="78"/>
      <c r="O14" s="79"/>
    </row>
    <row r="15" spans="2:18" x14ac:dyDescent="0.3">
      <c r="B15" s="126" t="s">
        <v>25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8"/>
      <c r="P15" s="94"/>
    </row>
    <row r="16" spans="2:18" x14ac:dyDescent="0.3">
      <c r="B16" s="26" t="s">
        <v>26</v>
      </c>
      <c r="C16" s="27"/>
      <c r="D16" s="17"/>
      <c r="E16" s="96"/>
      <c r="F16" s="97"/>
      <c r="G16" s="98"/>
      <c r="H16" s="98"/>
      <c r="I16" s="98"/>
      <c r="J16" s="98"/>
      <c r="K16" s="98"/>
      <c r="L16" s="98"/>
      <c r="M16" s="98"/>
      <c r="N16" s="98"/>
      <c r="O16" s="28"/>
    </row>
    <row r="17" spans="2:16" x14ac:dyDescent="0.3">
      <c r="B17" s="29" t="s">
        <v>27</v>
      </c>
      <c r="C17" s="13"/>
      <c r="D17" s="25"/>
      <c r="E17" s="17"/>
      <c r="F17" s="17"/>
      <c r="G17" s="82"/>
      <c r="H17" s="83"/>
      <c r="I17" s="83"/>
      <c r="J17" s="83"/>
      <c r="K17" s="86"/>
      <c r="L17" s="86"/>
      <c r="M17" s="86"/>
      <c r="N17" s="86"/>
      <c r="O17" s="87"/>
    </row>
    <row r="18" spans="2:16" x14ac:dyDescent="0.3">
      <c r="B18" s="29" t="s">
        <v>28</v>
      </c>
      <c r="C18" s="13"/>
      <c r="D18" s="25"/>
      <c r="E18" s="17"/>
      <c r="F18" s="17"/>
      <c r="G18" s="17"/>
      <c r="H18" s="17"/>
      <c r="I18" s="17"/>
      <c r="J18" s="17"/>
      <c r="K18" s="84"/>
      <c r="L18" s="85"/>
      <c r="M18" s="85"/>
      <c r="N18" s="85"/>
      <c r="O18" s="88"/>
    </row>
    <row r="19" spans="2:16" x14ac:dyDescent="0.3">
      <c r="B19" s="30" t="s">
        <v>29</v>
      </c>
      <c r="C19" s="13"/>
      <c r="D19" s="104"/>
      <c r="E19" s="17"/>
      <c r="F19" s="17"/>
      <c r="G19" s="17"/>
      <c r="H19" s="17"/>
      <c r="I19" s="105"/>
      <c r="J19" s="17"/>
      <c r="K19" s="31"/>
      <c r="L19" s="31"/>
      <c r="M19" s="31"/>
      <c r="N19" s="31"/>
      <c r="O19" s="30"/>
    </row>
    <row r="20" spans="2:16" x14ac:dyDescent="0.3">
      <c r="B20" s="114" t="s">
        <v>30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6"/>
      <c r="P20" s="103"/>
    </row>
    <row r="21" spans="2:16" x14ac:dyDescent="0.3">
      <c r="B21" s="32" t="s">
        <v>31</v>
      </c>
      <c r="C21" s="13"/>
      <c r="D21" s="13"/>
      <c r="E21" s="106"/>
      <c r="F21" s="107"/>
      <c r="G21" s="108"/>
      <c r="H21" s="13"/>
      <c r="I21" s="13"/>
      <c r="J21" s="13"/>
      <c r="K21" s="13"/>
      <c r="L21" s="13"/>
      <c r="M21" s="13"/>
      <c r="N21" s="13"/>
      <c r="O21" s="14"/>
    </row>
    <row r="22" spans="2:16" x14ac:dyDescent="0.3">
      <c r="B22" s="33" t="s">
        <v>32</v>
      </c>
      <c r="C22" s="13"/>
      <c r="D22" s="13"/>
      <c r="E22" s="13"/>
      <c r="F22" s="13"/>
      <c r="G22" s="13"/>
      <c r="H22" s="89"/>
      <c r="I22" s="90"/>
      <c r="J22" s="90"/>
      <c r="K22" s="90"/>
      <c r="L22" s="90"/>
      <c r="M22" s="90"/>
      <c r="N22" s="90"/>
      <c r="O22" s="91"/>
    </row>
    <row r="23" spans="2:16" x14ac:dyDescent="0.3">
      <c r="B23" s="34" t="s">
        <v>33</v>
      </c>
      <c r="C23" s="35"/>
      <c r="D23" s="92"/>
      <c r="E23" s="93"/>
      <c r="F23" s="93"/>
      <c r="G23" s="93"/>
      <c r="H23" s="36"/>
      <c r="I23" s="36"/>
      <c r="J23" s="36"/>
      <c r="K23" s="36"/>
      <c r="L23" s="36"/>
      <c r="M23" s="36"/>
      <c r="N23" s="36"/>
      <c r="O23" s="37"/>
    </row>
  </sheetData>
  <mergeCells count="5">
    <mergeCell ref="B20:O20"/>
    <mergeCell ref="B3:O3"/>
    <mergeCell ref="B6:O6"/>
    <mergeCell ref="B11:O11"/>
    <mergeCell ref="B15:O15"/>
  </mergeCells>
  <phoneticPr fontId="3" type="noConversion"/>
  <pageMargins left="0.511811024" right="0.511811024" top="0.78740157499999996" bottom="0.78740157499999996" header="0.31496062000000002" footer="0.31496062000000002"/>
  <pageSetup paperSize="8" fitToWidth="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FEE5-8582-413D-8F6B-A46E1C89D61E}">
  <dimension ref="A2:R47"/>
  <sheetViews>
    <sheetView showGridLines="0" tabSelected="1" workbookViewId="0">
      <selection activeCell="Q8" sqref="Q8"/>
    </sheetView>
  </sheetViews>
  <sheetFormatPr defaultRowHeight="14.4" x14ac:dyDescent="0.3"/>
  <cols>
    <col min="1" max="1" width="36.88671875" bestFit="1" customWidth="1"/>
    <col min="2" max="2" width="31.44140625" bestFit="1" customWidth="1"/>
    <col min="3" max="3" width="14" bestFit="1" customWidth="1"/>
    <col min="5" max="11" width="9.88671875" bestFit="1" customWidth="1"/>
    <col min="12" max="15" width="10.88671875" bestFit="1" customWidth="1"/>
    <col min="16" max="16" width="12.109375" bestFit="1" customWidth="1"/>
  </cols>
  <sheetData>
    <row r="2" spans="2:18" x14ac:dyDescent="0.3">
      <c r="B2" s="137" t="s">
        <v>1</v>
      </c>
      <c r="C2" s="135" t="s">
        <v>34</v>
      </c>
      <c r="D2" s="132" t="s">
        <v>35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4"/>
      <c r="Q2" s="50"/>
      <c r="R2" s="50"/>
    </row>
    <row r="3" spans="2:18" x14ac:dyDescent="0.3">
      <c r="B3" s="138"/>
      <c r="C3" s="136"/>
      <c r="D3" s="109" t="s">
        <v>2</v>
      </c>
      <c r="E3" s="112" t="s">
        <v>3</v>
      </c>
      <c r="F3" s="109" t="s">
        <v>4</v>
      </c>
      <c r="G3" s="109" t="s">
        <v>5</v>
      </c>
      <c r="H3" s="109" t="s">
        <v>6</v>
      </c>
      <c r="I3" s="109" t="s">
        <v>7</v>
      </c>
      <c r="J3" s="112" t="s">
        <v>8</v>
      </c>
      <c r="K3" s="109" t="s">
        <v>9</v>
      </c>
      <c r="L3" s="109" t="s">
        <v>10</v>
      </c>
      <c r="M3" s="109" t="s">
        <v>11</v>
      </c>
      <c r="N3" s="109" t="s">
        <v>12</v>
      </c>
      <c r="O3" s="109" t="s">
        <v>13</v>
      </c>
      <c r="P3" s="112" t="s">
        <v>14</v>
      </c>
      <c r="Q3" s="50"/>
      <c r="R3" s="51"/>
    </row>
    <row r="4" spans="2:18" x14ac:dyDescent="0.3">
      <c r="B4" s="60" t="s">
        <v>15</v>
      </c>
      <c r="C4" s="61">
        <f>SUM(D4:P4)</f>
        <v>6</v>
      </c>
      <c r="D4" s="62">
        <v>6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9"/>
      <c r="R4" s="49"/>
    </row>
    <row r="5" spans="2:18" x14ac:dyDescent="0.3">
      <c r="B5" s="118" t="s">
        <v>16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2"/>
      <c r="Q5" s="49"/>
      <c r="R5" s="49"/>
    </row>
    <row r="6" spans="2:18" x14ac:dyDescent="0.3">
      <c r="B6" s="16" t="s">
        <v>17</v>
      </c>
      <c r="C6" s="44">
        <f>SUM(D6:P6)</f>
        <v>16</v>
      </c>
      <c r="D6" s="44"/>
      <c r="E6" s="54">
        <v>6</v>
      </c>
      <c r="F6" s="54">
        <v>6</v>
      </c>
      <c r="G6" s="54">
        <v>4</v>
      </c>
      <c r="H6" s="44"/>
      <c r="I6" s="44"/>
      <c r="J6" s="44"/>
      <c r="K6" s="44"/>
      <c r="L6" s="44"/>
      <c r="M6" s="44"/>
      <c r="N6" s="44"/>
      <c r="O6" s="44"/>
      <c r="P6" s="44"/>
      <c r="Q6" s="49"/>
      <c r="R6" s="49"/>
    </row>
    <row r="7" spans="2:18" x14ac:dyDescent="0.3">
      <c r="B7" s="16" t="s">
        <v>18</v>
      </c>
      <c r="C7" s="44">
        <f t="shared" ref="C7:C9" si="0">SUM(D7:P7)</f>
        <v>24</v>
      </c>
      <c r="D7" s="44"/>
      <c r="E7" s="44"/>
      <c r="F7" s="44"/>
      <c r="G7" s="44"/>
      <c r="H7" s="55">
        <v>6</v>
      </c>
      <c r="I7" s="55">
        <v>6</v>
      </c>
      <c r="J7" s="55">
        <v>6</v>
      </c>
      <c r="K7" s="55">
        <v>6</v>
      </c>
      <c r="L7" s="52"/>
      <c r="M7" s="52"/>
      <c r="N7" s="52"/>
      <c r="O7" s="52"/>
      <c r="P7" s="44"/>
      <c r="Q7" s="49"/>
      <c r="R7" s="49"/>
    </row>
    <row r="8" spans="2:18" x14ac:dyDescent="0.3">
      <c r="B8" s="16" t="s">
        <v>19</v>
      </c>
      <c r="C8" s="44">
        <f t="shared" si="0"/>
        <v>16</v>
      </c>
      <c r="D8" s="44"/>
      <c r="E8" s="44"/>
      <c r="F8" s="44"/>
      <c r="G8" s="44"/>
      <c r="H8" s="52"/>
      <c r="I8" s="52"/>
      <c r="J8" s="56"/>
      <c r="K8" s="52"/>
      <c r="L8" s="55">
        <v>4</v>
      </c>
      <c r="M8" s="55">
        <v>4</v>
      </c>
      <c r="N8" s="55">
        <v>4</v>
      </c>
      <c r="O8" s="55">
        <v>4</v>
      </c>
      <c r="P8" s="44"/>
      <c r="Q8" s="49"/>
      <c r="R8" s="49"/>
    </row>
    <row r="9" spans="2:18" x14ac:dyDescent="0.3">
      <c r="B9" s="16" t="s">
        <v>20</v>
      </c>
      <c r="C9" s="44">
        <f t="shared" si="0"/>
        <v>16</v>
      </c>
      <c r="D9" s="44"/>
      <c r="E9" s="44"/>
      <c r="F9" s="44"/>
      <c r="G9" s="44"/>
      <c r="H9" s="52"/>
      <c r="I9" s="52"/>
      <c r="J9" s="52"/>
      <c r="K9" s="52"/>
      <c r="L9" s="55">
        <v>4</v>
      </c>
      <c r="M9" s="55">
        <v>4</v>
      </c>
      <c r="N9" s="55">
        <v>4</v>
      </c>
      <c r="O9" s="55">
        <v>4</v>
      </c>
      <c r="P9" s="44"/>
      <c r="Q9" s="49"/>
      <c r="R9" s="49"/>
    </row>
    <row r="10" spans="2:18" x14ac:dyDescent="0.3">
      <c r="B10" s="139" t="s">
        <v>21</v>
      </c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1"/>
      <c r="Q10" s="49"/>
      <c r="R10" s="49"/>
    </row>
    <row r="11" spans="2:18" x14ac:dyDescent="0.3">
      <c r="B11" s="23" t="s">
        <v>22</v>
      </c>
      <c r="C11" s="44">
        <f>SUM(D11:P11)</f>
        <v>12</v>
      </c>
      <c r="D11" s="44"/>
      <c r="E11" s="23">
        <v>4</v>
      </c>
      <c r="F11" s="23">
        <v>4</v>
      </c>
      <c r="G11" s="23">
        <v>4</v>
      </c>
      <c r="H11" s="56"/>
      <c r="I11" s="56"/>
      <c r="J11" s="56"/>
      <c r="K11" s="56"/>
      <c r="L11" s="56"/>
      <c r="M11" s="56"/>
      <c r="N11" s="63"/>
      <c r="O11" s="63"/>
      <c r="P11" s="63"/>
      <c r="Q11" s="49"/>
      <c r="R11" s="49"/>
    </row>
    <row r="12" spans="2:18" x14ac:dyDescent="0.3">
      <c r="B12" s="23" t="s">
        <v>23</v>
      </c>
      <c r="C12" s="44">
        <f t="shared" ref="C12:C13" si="1">SUM(D12:P12)</f>
        <v>40</v>
      </c>
      <c r="D12" s="44"/>
      <c r="E12" s="44"/>
      <c r="F12" s="44"/>
      <c r="G12" s="44"/>
      <c r="H12" s="23">
        <v>4</v>
      </c>
      <c r="I12" s="23">
        <v>6</v>
      </c>
      <c r="J12" s="23">
        <v>6</v>
      </c>
      <c r="K12" s="23">
        <v>6</v>
      </c>
      <c r="L12" s="23">
        <v>6</v>
      </c>
      <c r="M12" s="23">
        <v>4</v>
      </c>
      <c r="N12" s="23">
        <v>4</v>
      </c>
      <c r="O12" s="23">
        <v>4</v>
      </c>
      <c r="P12" s="44"/>
      <c r="Q12" s="49"/>
      <c r="R12" s="49"/>
    </row>
    <row r="13" spans="2:18" x14ac:dyDescent="0.3">
      <c r="B13" s="23" t="s">
        <v>24</v>
      </c>
      <c r="C13" s="44">
        <f t="shared" si="1"/>
        <v>32</v>
      </c>
      <c r="D13" s="44"/>
      <c r="E13" s="53"/>
      <c r="F13" s="44"/>
      <c r="G13" s="52"/>
      <c r="H13" s="52"/>
      <c r="I13" s="52"/>
      <c r="J13" s="52"/>
      <c r="K13" s="23">
        <v>4</v>
      </c>
      <c r="L13" s="23">
        <v>4</v>
      </c>
      <c r="M13" s="23">
        <v>6</v>
      </c>
      <c r="N13" s="23">
        <v>6</v>
      </c>
      <c r="O13" s="23">
        <v>6</v>
      </c>
      <c r="P13" s="23">
        <v>6</v>
      </c>
      <c r="Q13" s="49"/>
      <c r="R13" s="49"/>
    </row>
    <row r="14" spans="2:18" x14ac:dyDescent="0.3">
      <c r="B14" s="142" t="s">
        <v>25</v>
      </c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4"/>
      <c r="Q14" s="49"/>
      <c r="R14" s="49"/>
    </row>
    <row r="15" spans="2:18" x14ac:dyDescent="0.3">
      <c r="B15" s="29" t="s">
        <v>26</v>
      </c>
      <c r="C15" s="44">
        <f>SUM(D15:P15)</f>
        <v>27</v>
      </c>
      <c r="D15" s="44"/>
      <c r="E15" s="52"/>
      <c r="F15" s="57">
        <v>2</v>
      </c>
      <c r="G15" s="57">
        <v>2</v>
      </c>
      <c r="H15" s="57">
        <v>3</v>
      </c>
      <c r="I15" s="57">
        <v>4</v>
      </c>
      <c r="J15" s="57">
        <v>2</v>
      </c>
      <c r="K15" s="57">
        <v>2</v>
      </c>
      <c r="L15" s="57">
        <v>2</v>
      </c>
      <c r="M15" s="57">
        <v>2</v>
      </c>
      <c r="N15" s="57">
        <v>2</v>
      </c>
      <c r="O15" s="57">
        <v>4</v>
      </c>
      <c r="P15" s="57">
        <v>2</v>
      </c>
      <c r="Q15" s="49"/>
      <c r="R15" s="49"/>
    </row>
    <row r="16" spans="2:18" x14ac:dyDescent="0.3">
      <c r="B16" s="29" t="s">
        <v>27</v>
      </c>
      <c r="C16" s="44">
        <f t="shared" ref="C16:C18" si="2">SUM(D16:P16)</f>
        <v>24</v>
      </c>
      <c r="D16" s="44"/>
      <c r="E16" s="53"/>
      <c r="F16" s="52"/>
      <c r="G16" s="52"/>
      <c r="H16" s="29">
        <v>3</v>
      </c>
      <c r="I16" s="29">
        <v>4</v>
      </c>
      <c r="J16" s="29">
        <v>3</v>
      </c>
      <c r="K16" s="29">
        <v>2</v>
      </c>
      <c r="L16" s="29">
        <v>2</v>
      </c>
      <c r="M16" s="29">
        <v>2</v>
      </c>
      <c r="N16" s="29">
        <v>2</v>
      </c>
      <c r="O16" s="29">
        <v>4</v>
      </c>
      <c r="P16" s="29">
        <v>2</v>
      </c>
      <c r="Q16" s="49"/>
      <c r="R16" s="49"/>
    </row>
    <row r="17" spans="1:18" x14ac:dyDescent="0.3">
      <c r="B17" s="29" t="s">
        <v>28</v>
      </c>
      <c r="C17" s="44">
        <f t="shared" si="2"/>
        <v>15</v>
      </c>
      <c r="D17" s="44"/>
      <c r="E17" s="53"/>
      <c r="F17" s="52"/>
      <c r="G17" s="52"/>
      <c r="H17" s="52"/>
      <c r="I17" s="52"/>
      <c r="J17" s="52"/>
      <c r="K17" s="52"/>
      <c r="L17" s="29">
        <v>3</v>
      </c>
      <c r="M17" s="29">
        <v>3</v>
      </c>
      <c r="N17" s="29">
        <v>3</v>
      </c>
      <c r="O17" s="29">
        <v>4</v>
      </c>
      <c r="P17" s="29">
        <v>2</v>
      </c>
      <c r="Q17" s="49"/>
      <c r="R17" s="49"/>
    </row>
    <row r="18" spans="1:18" x14ac:dyDescent="0.3">
      <c r="B18" s="29" t="s">
        <v>29</v>
      </c>
      <c r="C18" s="44">
        <f t="shared" si="2"/>
        <v>6</v>
      </c>
      <c r="D18" s="44"/>
      <c r="E18" s="57">
        <v>2</v>
      </c>
      <c r="F18" s="52"/>
      <c r="G18" s="52"/>
      <c r="H18" s="52"/>
      <c r="I18" s="52"/>
      <c r="J18" s="58">
        <v>2</v>
      </c>
      <c r="K18" s="52"/>
      <c r="L18" s="59"/>
      <c r="M18" s="59"/>
      <c r="N18" s="59"/>
      <c r="O18" s="59"/>
      <c r="P18" s="29">
        <v>2</v>
      </c>
      <c r="Q18" s="49"/>
      <c r="R18" s="49"/>
    </row>
    <row r="19" spans="1:18" x14ac:dyDescent="0.3">
      <c r="B19" s="129" t="s">
        <v>30</v>
      </c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49"/>
      <c r="R19" s="49"/>
    </row>
    <row r="20" spans="1:18" x14ac:dyDescent="0.3">
      <c r="B20" s="33" t="s">
        <v>31</v>
      </c>
      <c r="C20" s="44">
        <f>SUM(D20:P20)</f>
        <v>5</v>
      </c>
      <c r="D20" s="44"/>
      <c r="E20" s="44"/>
      <c r="F20" s="33">
        <v>2</v>
      </c>
      <c r="G20" s="33">
        <v>2</v>
      </c>
      <c r="H20" s="33">
        <v>1</v>
      </c>
      <c r="I20" s="44"/>
      <c r="J20" s="44"/>
      <c r="K20" s="44"/>
      <c r="L20" s="44"/>
      <c r="M20" s="44"/>
      <c r="N20" s="44"/>
      <c r="O20" s="44"/>
      <c r="P20" s="44"/>
      <c r="Q20" s="49"/>
      <c r="R20" s="49"/>
    </row>
    <row r="21" spans="1:18" x14ac:dyDescent="0.3">
      <c r="B21" s="33" t="s">
        <v>32</v>
      </c>
      <c r="C21" s="44">
        <f t="shared" ref="C21:C22" si="3">SUM(D21:P21)</f>
        <v>12</v>
      </c>
      <c r="D21" s="44"/>
      <c r="E21" s="44"/>
      <c r="F21" s="44"/>
      <c r="G21" s="44"/>
      <c r="H21" s="44"/>
      <c r="I21" s="33">
        <v>4</v>
      </c>
      <c r="J21" s="33">
        <v>1</v>
      </c>
      <c r="K21" s="33">
        <v>1</v>
      </c>
      <c r="L21" s="33">
        <v>1</v>
      </c>
      <c r="M21" s="33">
        <v>1</v>
      </c>
      <c r="N21" s="33">
        <v>1</v>
      </c>
      <c r="O21" s="33">
        <v>1</v>
      </c>
      <c r="P21" s="33">
        <v>2</v>
      </c>
      <c r="Q21" s="49"/>
      <c r="R21" s="49"/>
    </row>
    <row r="22" spans="1:18" x14ac:dyDescent="0.3">
      <c r="B22" s="34" t="s">
        <v>33</v>
      </c>
      <c r="C22" s="44">
        <f t="shared" si="3"/>
        <v>23</v>
      </c>
      <c r="D22" s="44"/>
      <c r="E22" s="64">
        <v>2</v>
      </c>
      <c r="F22" s="64">
        <v>2</v>
      </c>
      <c r="G22" s="64">
        <v>1</v>
      </c>
      <c r="H22" s="64">
        <v>1</v>
      </c>
      <c r="I22" s="64">
        <v>4</v>
      </c>
      <c r="J22" s="64">
        <v>2</v>
      </c>
      <c r="K22" s="64">
        <v>2</v>
      </c>
      <c r="L22" s="64">
        <v>1</v>
      </c>
      <c r="M22" s="64">
        <v>1</v>
      </c>
      <c r="N22" s="64">
        <v>1</v>
      </c>
      <c r="O22" s="64">
        <v>2</v>
      </c>
      <c r="P22" s="64">
        <v>4</v>
      </c>
      <c r="Q22" s="49"/>
      <c r="R22" s="49"/>
    </row>
    <row r="23" spans="1:18" x14ac:dyDescent="0.3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</row>
    <row r="24" spans="1:18" x14ac:dyDescent="0.3"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</row>
    <row r="25" spans="1:18" x14ac:dyDescent="0.3"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</row>
    <row r="26" spans="1:18" x14ac:dyDescent="0.3">
      <c r="B26" s="65" t="s">
        <v>36</v>
      </c>
      <c r="C26" s="65">
        <f>SUM(C4,C6,C8,C9,C7,C11,C12,C13,C15,C16,C17,C18,C20,C21,C22)</f>
        <v>274</v>
      </c>
      <c r="D26" s="65">
        <f>IF(SUM(D4:D24)&gt;0,C26-SUM(D4:D24),"")</f>
        <v>268</v>
      </c>
      <c r="E26" s="65">
        <f t="shared" ref="E26:P26" si="4">IF(SUM(E4:E24)&gt;0,D26-SUM(E4:E24),"")</f>
        <v>254</v>
      </c>
      <c r="F26" s="65">
        <f t="shared" si="4"/>
        <v>238</v>
      </c>
      <c r="G26" s="65">
        <f t="shared" si="4"/>
        <v>225</v>
      </c>
      <c r="H26" s="65">
        <f t="shared" si="4"/>
        <v>207</v>
      </c>
      <c r="I26" s="65">
        <f t="shared" si="4"/>
        <v>179</v>
      </c>
      <c r="J26" s="65">
        <f t="shared" si="4"/>
        <v>157</v>
      </c>
      <c r="K26" s="65">
        <f t="shared" si="4"/>
        <v>134</v>
      </c>
      <c r="L26" s="65">
        <f t="shared" si="4"/>
        <v>107</v>
      </c>
      <c r="M26" s="65">
        <f t="shared" si="4"/>
        <v>80</v>
      </c>
      <c r="N26" s="65">
        <f t="shared" si="4"/>
        <v>53</v>
      </c>
      <c r="O26" s="65">
        <f t="shared" si="4"/>
        <v>20</v>
      </c>
      <c r="P26" s="65">
        <f t="shared" si="4"/>
        <v>0</v>
      </c>
      <c r="Q26" s="50"/>
      <c r="R26" s="50"/>
    </row>
    <row r="27" spans="1:18" x14ac:dyDescent="0.3">
      <c r="B27" s="66" t="s">
        <v>37</v>
      </c>
      <c r="C27" s="66">
        <f>SUM(C4,C6,C8,C9,C7,C11,C12,C13,C15,C16,C17,C18,C20,C21,C22)</f>
        <v>274</v>
      </c>
      <c r="D27" s="66">
        <f t="shared" ref="D27:P27" si="5">C27-($C$27/COUNTA($D$3:$R$3))</f>
        <v>252.92307692307693</v>
      </c>
      <c r="E27" s="66">
        <f t="shared" si="5"/>
        <v>231.84615384615387</v>
      </c>
      <c r="F27" s="66">
        <f t="shared" si="5"/>
        <v>210.7692307692308</v>
      </c>
      <c r="G27" s="66">
        <f t="shared" si="5"/>
        <v>189.69230769230774</v>
      </c>
      <c r="H27" s="66">
        <f t="shared" si="5"/>
        <v>168.61538461538467</v>
      </c>
      <c r="I27" s="66">
        <f t="shared" si="5"/>
        <v>147.5384615384616</v>
      </c>
      <c r="J27" s="66">
        <f t="shared" si="5"/>
        <v>126.46153846153852</v>
      </c>
      <c r="K27" s="66">
        <f t="shared" si="5"/>
        <v>105.38461538461544</v>
      </c>
      <c r="L27" s="66">
        <f t="shared" si="5"/>
        <v>84.307692307692363</v>
      </c>
      <c r="M27" s="66">
        <f t="shared" si="5"/>
        <v>63.230769230769283</v>
      </c>
      <c r="N27" s="66">
        <f t="shared" si="5"/>
        <v>42.153846153846203</v>
      </c>
      <c r="O27" s="66">
        <f t="shared" si="5"/>
        <v>21.076923076923126</v>
      </c>
      <c r="P27" s="66">
        <f t="shared" si="5"/>
        <v>4.9737991503207013E-14</v>
      </c>
      <c r="Q27" s="50"/>
      <c r="R27" s="50"/>
    </row>
    <row r="28" spans="1:18" x14ac:dyDescent="0.3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</row>
    <row r="29" spans="1:18" x14ac:dyDescent="0.3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</row>
    <row r="30" spans="1:18" x14ac:dyDescent="0.3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</row>
    <row r="31" spans="1:18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</row>
    <row r="32" spans="1:18" x14ac:dyDescent="0.3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</row>
    <row r="33" spans="1:18" x14ac:dyDescent="0.3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</row>
    <row r="34" spans="1:18" x14ac:dyDescent="0.3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</row>
    <row r="35" spans="1:18" x14ac:dyDescent="0.3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</row>
    <row r="36" spans="1:18" x14ac:dyDescent="0.3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</row>
    <row r="37" spans="1:18" x14ac:dyDescent="0.3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</row>
    <row r="38" spans="1:18" x14ac:dyDescent="0.3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</row>
    <row r="39" spans="1:18" x14ac:dyDescent="0.3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</row>
    <row r="40" spans="1:18" x14ac:dyDescent="0.3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</row>
    <row r="41" spans="1:18" x14ac:dyDescent="0.3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</row>
    <row r="42" spans="1:18" x14ac:dyDescent="0.3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</row>
    <row r="43" spans="1:18" x14ac:dyDescent="0.3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</row>
    <row r="44" spans="1:18" x14ac:dyDescent="0.3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</row>
    <row r="45" spans="1:18" x14ac:dyDescent="0.3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</row>
    <row r="46" spans="1:18" x14ac:dyDescent="0.3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</row>
    <row r="47" spans="1:18" x14ac:dyDescent="0.3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</row>
  </sheetData>
  <mergeCells count="7">
    <mergeCell ref="B19:P19"/>
    <mergeCell ref="D2:P2"/>
    <mergeCell ref="C2:C3"/>
    <mergeCell ref="B2:B3"/>
    <mergeCell ref="B5:P5"/>
    <mergeCell ref="B10:P10"/>
    <mergeCell ref="B14:P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2DE1-3B53-4BAA-95AB-D1030F9FC269}">
  <dimension ref="B2:O43"/>
  <sheetViews>
    <sheetView showGridLines="0" zoomScale="110" zoomScaleNormal="110" workbookViewId="0">
      <selection activeCell="H13" sqref="H13"/>
    </sheetView>
  </sheetViews>
  <sheetFormatPr defaultRowHeight="14.4" x14ac:dyDescent="0.3"/>
  <cols>
    <col min="1" max="1" width="3.109375" customWidth="1"/>
    <col min="2" max="2" width="43.109375" customWidth="1"/>
    <col min="3" max="3" width="38.109375" bestFit="1" customWidth="1"/>
    <col min="4" max="4" width="26.77734375" bestFit="1" customWidth="1"/>
    <col min="5" max="5" width="23.109375" bestFit="1" customWidth="1"/>
    <col min="6" max="6" width="24" bestFit="1" customWidth="1"/>
    <col min="15" max="15" width="9.109375" bestFit="1" customWidth="1"/>
  </cols>
  <sheetData>
    <row r="2" spans="2:12" s="2" customFormat="1" x14ac:dyDescent="0.3">
      <c r="B2" s="38" t="s">
        <v>38</v>
      </c>
      <c r="C2" s="38"/>
      <c r="D2" s="38"/>
      <c r="E2" s="38"/>
      <c r="F2" s="39"/>
      <c r="G2" s="7"/>
    </row>
    <row r="3" spans="2:12" x14ac:dyDescent="0.3">
      <c r="B3" s="9" t="s">
        <v>39</v>
      </c>
      <c r="C3" s="40" t="s">
        <v>40</v>
      </c>
      <c r="D3" s="41" t="s">
        <v>41</v>
      </c>
      <c r="E3" s="42" t="s">
        <v>42</v>
      </c>
      <c r="F3" s="43" t="s">
        <v>43</v>
      </c>
      <c r="G3" s="5"/>
    </row>
    <row r="4" spans="2:12" x14ac:dyDescent="0.3">
      <c r="B4" s="44" t="s">
        <v>15</v>
      </c>
      <c r="C4" s="47" t="s">
        <v>44</v>
      </c>
      <c r="D4" s="44"/>
      <c r="E4" s="110" t="s">
        <v>49</v>
      </c>
      <c r="F4" s="46" t="s">
        <v>50</v>
      </c>
      <c r="G4" s="5"/>
    </row>
    <row r="5" spans="2:12" x14ac:dyDescent="0.3">
      <c r="B5" s="145" t="s">
        <v>16</v>
      </c>
      <c r="C5" s="146"/>
      <c r="D5" s="146"/>
      <c r="E5" s="146"/>
      <c r="F5" s="146"/>
      <c r="G5" s="5"/>
    </row>
    <row r="6" spans="2:12" x14ac:dyDescent="0.3">
      <c r="B6" s="44" t="s">
        <v>17</v>
      </c>
      <c r="C6" s="47" t="s">
        <v>45</v>
      </c>
      <c r="D6" s="44"/>
      <c r="E6" s="110" t="s">
        <v>49</v>
      </c>
      <c r="F6" s="46" t="s">
        <v>51</v>
      </c>
      <c r="G6" s="5"/>
    </row>
    <row r="7" spans="2:12" x14ac:dyDescent="0.3">
      <c r="B7" s="44" t="s">
        <v>18</v>
      </c>
      <c r="C7" s="47" t="s">
        <v>45</v>
      </c>
      <c r="D7" s="110"/>
      <c r="E7" s="110" t="s">
        <v>49</v>
      </c>
      <c r="F7" s="46" t="s">
        <v>52</v>
      </c>
      <c r="G7" s="5"/>
    </row>
    <row r="8" spans="2:12" x14ac:dyDescent="0.3">
      <c r="B8" s="44" t="s">
        <v>19</v>
      </c>
      <c r="C8" s="47" t="s">
        <v>45</v>
      </c>
      <c r="D8" s="44"/>
      <c r="E8" s="110" t="s">
        <v>49</v>
      </c>
      <c r="F8" s="46" t="s">
        <v>53</v>
      </c>
      <c r="G8" s="5"/>
    </row>
    <row r="9" spans="2:12" x14ac:dyDescent="0.3">
      <c r="B9" s="44" t="s">
        <v>20</v>
      </c>
      <c r="C9" s="47" t="s">
        <v>45</v>
      </c>
      <c r="D9" s="44"/>
      <c r="E9" s="110" t="s">
        <v>49</v>
      </c>
      <c r="F9" s="46" t="s">
        <v>60</v>
      </c>
      <c r="G9" s="5"/>
    </row>
    <row r="10" spans="2:12" x14ac:dyDescent="0.3">
      <c r="B10" s="147" t="s">
        <v>21</v>
      </c>
      <c r="C10" s="148"/>
      <c r="D10" s="148"/>
      <c r="E10" s="148"/>
      <c r="F10" s="148"/>
      <c r="G10" s="5"/>
    </row>
    <row r="11" spans="2:12" x14ac:dyDescent="0.3">
      <c r="B11" s="44" t="s">
        <v>22</v>
      </c>
      <c r="C11" s="45" t="s">
        <v>46</v>
      </c>
      <c r="D11" s="44"/>
      <c r="E11" s="110" t="s">
        <v>49</v>
      </c>
      <c r="F11" s="46" t="s">
        <v>53</v>
      </c>
      <c r="G11" s="5"/>
      <c r="L11" s="6"/>
    </row>
    <row r="12" spans="2:12" x14ac:dyDescent="0.3">
      <c r="B12" s="44" t="s">
        <v>23</v>
      </c>
      <c r="C12" s="45" t="s">
        <v>47</v>
      </c>
      <c r="D12" s="110"/>
      <c r="E12" s="110" t="s">
        <v>49</v>
      </c>
      <c r="F12" s="46" t="s">
        <v>58</v>
      </c>
      <c r="G12" s="5"/>
      <c r="L12" s="6"/>
    </row>
    <row r="13" spans="2:12" x14ac:dyDescent="0.3">
      <c r="B13" s="44" t="s">
        <v>24</v>
      </c>
      <c r="C13" s="45" t="s">
        <v>48</v>
      </c>
      <c r="D13" s="44"/>
      <c r="E13" s="110" t="s">
        <v>49</v>
      </c>
      <c r="F13" s="46" t="s">
        <v>59</v>
      </c>
      <c r="G13" s="5"/>
      <c r="L13" s="6"/>
    </row>
    <row r="14" spans="2:12" x14ac:dyDescent="0.3">
      <c r="B14" s="149" t="s">
        <v>25</v>
      </c>
      <c r="C14" s="150"/>
      <c r="D14" s="150"/>
      <c r="E14" s="150"/>
      <c r="F14" s="150"/>
      <c r="G14" s="5"/>
    </row>
    <row r="15" spans="2:12" x14ac:dyDescent="0.3">
      <c r="B15" s="44" t="s">
        <v>26</v>
      </c>
      <c r="C15" s="48" t="s">
        <v>44</v>
      </c>
      <c r="D15" s="110"/>
      <c r="E15" s="110" t="s">
        <v>49</v>
      </c>
      <c r="F15" s="45" t="s">
        <v>55</v>
      </c>
      <c r="G15" s="5"/>
      <c r="L15" s="6"/>
    </row>
    <row r="16" spans="2:12" x14ac:dyDescent="0.3">
      <c r="B16" s="44" t="s">
        <v>27</v>
      </c>
      <c r="C16" s="48" t="s">
        <v>44</v>
      </c>
      <c r="D16" s="110"/>
      <c r="E16" s="110" t="s">
        <v>49</v>
      </c>
      <c r="F16" s="45" t="s">
        <v>55</v>
      </c>
      <c r="G16" s="5"/>
    </row>
    <row r="17" spans="2:15" x14ac:dyDescent="0.3">
      <c r="B17" s="44" t="s">
        <v>28</v>
      </c>
      <c r="C17" s="48" t="s">
        <v>44</v>
      </c>
      <c r="D17" s="44"/>
      <c r="E17" s="110" t="s">
        <v>49</v>
      </c>
      <c r="F17" s="45"/>
      <c r="G17" s="5"/>
    </row>
    <row r="18" spans="2:15" x14ac:dyDescent="0.3">
      <c r="B18" s="44" t="s">
        <v>29</v>
      </c>
      <c r="C18" s="48" t="s">
        <v>44</v>
      </c>
      <c r="D18" s="44"/>
      <c r="E18" s="110" t="s">
        <v>49</v>
      </c>
      <c r="F18" s="45"/>
      <c r="G18" s="5"/>
    </row>
    <row r="19" spans="2:15" x14ac:dyDescent="0.3">
      <c r="B19" s="151" t="s">
        <v>30</v>
      </c>
      <c r="C19" s="152"/>
      <c r="D19" s="152"/>
      <c r="E19" s="152"/>
      <c r="F19" s="152"/>
      <c r="G19" s="5"/>
    </row>
    <row r="20" spans="2:15" x14ac:dyDescent="0.3">
      <c r="B20" s="44" t="s">
        <v>31</v>
      </c>
      <c r="C20" s="111" t="s">
        <v>44</v>
      </c>
      <c r="D20" s="44"/>
      <c r="E20" s="110" t="s">
        <v>49</v>
      </c>
      <c r="F20" s="45" t="s">
        <v>54</v>
      </c>
      <c r="G20" s="5"/>
    </row>
    <row r="21" spans="2:15" x14ac:dyDescent="0.3">
      <c r="B21" s="44" t="s">
        <v>32</v>
      </c>
      <c r="C21" s="111" t="s">
        <v>44</v>
      </c>
      <c r="D21" s="110"/>
      <c r="E21" s="110" t="s">
        <v>49</v>
      </c>
      <c r="F21" s="113" t="s">
        <v>56</v>
      </c>
      <c r="G21" s="5"/>
    </row>
    <row r="22" spans="2:15" x14ac:dyDescent="0.3">
      <c r="B22" s="44" t="s">
        <v>33</v>
      </c>
      <c r="C22" s="48" t="s">
        <v>44</v>
      </c>
      <c r="D22" s="110" t="s">
        <v>49</v>
      </c>
      <c r="E22" s="110"/>
      <c r="F22" s="45" t="s">
        <v>57</v>
      </c>
      <c r="G22" s="5"/>
    </row>
    <row r="25" spans="2:15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42" spans="3:15" x14ac:dyDescent="0.3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3:15" x14ac:dyDescent="0.3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</sheetData>
  <mergeCells count="4">
    <mergeCell ref="B5:F5"/>
    <mergeCell ref="B10:F10"/>
    <mergeCell ref="B14:F14"/>
    <mergeCell ref="B19:F19"/>
  </mergeCells>
  <pageMargins left="0.511811024" right="0.511811024" top="0.78740157499999996" bottom="0.78740157499999996" header="0.31496062000000002" footer="0.31496062000000002"/>
  <pageSetup paperSize="8" fitToWidth="0" fitToHeight="0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2e8f5-27d7-4f61-9f93-1cf91307da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B351E8A6E7649BF30E6B840EC0436" ma:contentTypeVersion="11" ma:contentTypeDescription="Crie um novo documento." ma:contentTypeScope="" ma:versionID="03cbe1cecd4343fd5972e6f798f9d990">
  <xsd:schema xmlns:xsd="http://www.w3.org/2001/XMLSchema" xmlns:xs="http://www.w3.org/2001/XMLSchema" xmlns:p="http://schemas.microsoft.com/office/2006/metadata/properties" xmlns:ns2="eff2e8f5-27d7-4f61-9f93-1cf91307dac9" targetNamespace="http://schemas.microsoft.com/office/2006/metadata/properties" ma:root="true" ma:fieldsID="520d3c8048531e07ac1a542ed3d4a2b0" ns2:_="">
    <xsd:import namespace="eff2e8f5-27d7-4f61-9f93-1cf91307da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2e8f5-27d7-4f61-9f93-1cf91307d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ee0d7d-e0dd-4976-8ad4-cb0783d2a5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A829F1-35C3-4A75-8FD7-FF6D25F10C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A2EB68-5829-4389-86C8-A3A6F8F290CB}">
  <ds:schemaRefs>
    <ds:schemaRef ds:uri="http://schemas.microsoft.com/office/2006/metadata/properties"/>
    <ds:schemaRef ds:uri="http://schemas.microsoft.com/office/infopath/2007/PartnerControls"/>
    <ds:schemaRef ds:uri="eff2e8f5-27d7-4f61-9f93-1cf91307dac9"/>
  </ds:schemaRefs>
</ds:datastoreItem>
</file>

<file path=customXml/itemProps3.xml><?xml version="1.0" encoding="utf-8"?>
<ds:datastoreItem xmlns:ds="http://schemas.openxmlformats.org/officeDocument/2006/customXml" ds:itemID="{733BD6C0-BAC5-4537-A4FF-6621BD2E8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2e8f5-27d7-4f61-9f93-1cf91307da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CRONOGRAMA</vt:lpstr>
      <vt:lpstr>HORAS ATIVIDADES</vt:lpstr>
      <vt:lpstr>FLUXO DE TRABALHO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Sérgio Tavares</dc:creator>
  <cp:keywords/>
  <dc:description/>
  <cp:lastModifiedBy>RAFAEL EDUARDO RODRIGUES NAVARRO</cp:lastModifiedBy>
  <cp:revision/>
  <dcterms:created xsi:type="dcterms:W3CDTF">2021-05-12T11:12:09Z</dcterms:created>
  <dcterms:modified xsi:type="dcterms:W3CDTF">2025-11-26T21:04:41Z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0x010100754B351E8A6E7649BF30E6B840EC0436</vt:lpwstr>
  </property>
  <property fmtid="{D5CDD505-2E9C-101B-9397-08002B2CF9AE}" pid="3" name="Order">
    <vt:r8>2200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